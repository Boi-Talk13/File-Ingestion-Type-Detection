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ored\Downloads\CHROME\"/>
    </mc:Choice>
  </mc:AlternateContent>
  <xr:revisionPtr revIDLastSave="0" documentId="13_ncr:1_{6DCD9AC1-2ADF-4E3E-9CF3-FFFEB18C3D55}" xr6:coauthVersionLast="47" xr6:coauthVersionMax="47" xr10:uidLastSave="{00000000-0000-0000-0000-000000000000}"/>
  <bookViews>
    <workbookView xWindow="-120" yWindow="-120" windowWidth="20730" windowHeight="11040" xr2:uid="{EBC49A69-3BE1-4EFF-ACBE-0FAF4F272B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3" i="1"/>
  <c r="W8" i="1"/>
  <c r="V8" i="1"/>
  <c r="T8" i="1"/>
  <c r="S8" i="1"/>
  <c r="R8" i="1"/>
  <c r="Q8" i="1"/>
  <c r="T4" i="1"/>
  <c r="T5" i="1"/>
  <c r="T6" i="1"/>
  <c r="T7" i="1"/>
  <c r="T3" i="1"/>
  <c r="R4" i="1"/>
  <c r="R5" i="1"/>
  <c r="R6" i="1"/>
  <c r="R7" i="1"/>
  <c r="R3" i="1"/>
  <c r="W4" i="1"/>
  <c r="W5" i="1"/>
  <c r="W6" i="1"/>
  <c r="W7" i="1"/>
  <c r="W3" i="1"/>
  <c r="V4" i="1"/>
  <c r="V5" i="1"/>
  <c r="V6" i="1"/>
  <c r="V7" i="1"/>
  <c r="V3" i="1"/>
  <c r="S4" i="1"/>
  <c r="S5" i="1"/>
  <c r="S6" i="1"/>
  <c r="S7" i="1"/>
  <c r="S3" i="1"/>
  <c r="Q4" i="1"/>
  <c r="Q5" i="1"/>
  <c r="Q6" i="1"/>
  <c r="Q7" i="1"/>
  <c r="Q3" i="1"/>
</calcChain>
</file>

<file path=xl/sharedStrings.xml><?xml version="1.0" encoding="utf-8"?>
<sst xmlns="http://schemas.openxmlformats.org/spreadsheetml/2006/main" count="61" uniqueCount="31">
  <si>
    <t>Batsman Name</t>
  </si>
  <si>
    <t>Runs</t>
  </si>
  <si>
    <t>Balls</t>
  </si>
  <si>
    <t>Match-1</t>
  </si>
  <si>
    <t>Match-2</t>
  </si>
  <si>
    <t>Match-3</t>
  </si>
  <si>
    <t>Match-4</t>
  </si>
  <si>
    <t>Match-5</t>
  </si>
  <si>
    <t>Rohit Sharma</t>
  </si>
  <si>
    <t>Virat Kohli</t>
  </si>
  <si>
    <t>Shreyas Iyyer</t>
  </si>
  <si>
    <t>Sanju Samson</t>
  </si>
  <si>
    <t>KL Rahul</t>
  </si>
  <si>
    <t>Total Runs</t>
  </si>
  <si>
    <t>Average</t>
  </si>
  <si>
    <t>Strike Rate</t>
  </si>
  <si>
    <t>Out/Not Out</t>
  </si>
  <si>
    <t>Out</t>
  </si>
  <si>
    <t>Not Out</t>
  </si>
  <si>
    <t xml:space="preserve">Out </t>
  </si>
  <si>
    <t>No. Of Not Outs</t>
  </si>
  <si>
    <t>Hieghest Score</t>
  </si>
  <si>
    <t>Lowest Score</t>
  </si>
  <si>
    <t>No.of 100s</t>
  </si>
  <si>
    <t>Give Red Background to all the scores less than 25</t>
  </si>
  <si>
    <t>Give Green Background to all scores greater than 60</t>
  </si>
  <si>
    <t>Make Background into Yellow who scored maximum runs an all mathches</t>
  </si>
  <si>
    <t>Make background into Brown who scored minimum runs an all mathches</t>
  </si>
  <si>
    <t>No. of 50s</t>
  </si>
  <si>
    <t>Total</t>
  </si>
  <si>
    <t>Total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</si>
</sst>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64" fontId="0" fillId="0" borderId="0" xfId="0" applyNumberFormat="1"/>
  </cellXfs>
  <cellStyles count="1">
    <cellStyle name="Normal" xfId="0" builtinId="0"/>
  </cellStyles>
  <dxfs count="5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0D1-AFC6-492A-B701-10535D47BAFF}">
  <dimension ref="A1:Y15"/>
  <sheetViews>
    <sheetView tabSelected="1" workbookViewId="0">
      <selection activeCell="Y3" sqref="Y3"/>
    </sheetView>
  </sheetViews>
  <sheetFormatPr defaultRowHeight="15" x14ac:dyDescent="0.25"/>
  <cols>
    <col min="1" max="1" width="21" customWidth="1"/>
    <col min="2" max="3" width="5.42578125" bestFit="1" customWidth="1"/>
    <col min="4" max="4" width="8" bestFit="1" customWidth="1"/>
    <col min="5" max="6" width="5.42578125" bestFit="1" customWidth="1"/>
    <col min="7" max="7" width="7.7109375" bestFit="1" customWidth="1"/>
    <col min="8" max="9" width="5.42578125" bestFit="1" customWidth="1"/>
    <col min="10" max="10" width="7.7109375" bestFit="1" customWidth="1"/>
    <col min="11" max="12" width="5.42578125" bestFit="1" customWidth="1"/>
    <col min="13" max="13" width="7.7109375" bestFit="1" customWidth="1"/>
    <col min="14" max="15" width="5.42578125" bestFit="1" customWidth="1"/>
    <col min="16" max="16" width="7.7109375" bestFit="1" customWidth="1"/>
    <col min="17" max="17" width="6.7109375" customWidth="1"/>
    <col min="18" max="18" width="7.85546875" bestFit="1" customWidth="1"/>
    <col min="19" max="19" width="10.140625" bestFit="1" customWidth="1"/>
    <col min="20" max="20" width="8.42578125" customWidth="1"/>
    <col min="21" max="21" width="8.7109375" customWidth="1"/>
    <col min="22" max="22" width="7.28515625" customWidth="1"/>
    <col min="23" max="23" width="6.140625" customWidth="1"/>
    <col min="24" max="24" width="6.85546875" customWidth="1"/>
  </cols>
  <sheetData>
    <row r="1" spans="1:25" x14ac:dyDescent="0.25">
      <c r="A1" s="6" t="s">
        <v>0</v>
      </c>
      <c r="B1" s="6" t="s">
        <v>3</v>
      </c>
      <c r="C1" s="6"/>
      <c r="D1" s="2"/>
      <c r="E1" s="6" t="s">
        <v>4</v>
      </c>
      <c r="F1" s="6"/>
      <c r="G1" s="2"/>
      <c r="H1" s="6" t="s">
        <v>5</v>
      </c>
      <c r="I1" s="6"/>
      <c r="J1" s="2"/>
      <c r="K1" s="6" t="s">
        <v>6</v>
      </c>
      <c r="L1" s="6"/>
      <c r="M1" s="2"/>
      <c r="N1" s="6" t="s">
        <v>7</v>
      </c>
      <c r="O1" s="6"/>
      <c r="P1" s="2"/>
      <c r="Q1" s="4" t="s">
        <v>13</v>
      </c>
      <c r="R1" s="4" t="s">
        <v>30</v>
      </c>
      <c r="S1" s="4" t="s">
        <v>14</v>
      </c>
      <c r="T1" s="4" t="s">
        <v>15</v>
      </c>
      <c r="U1" s="4" t="s">
        <v>20</v>
      </c>
      <c r="V1" s="4" t="s">
        <v>21</v>
      </c>
      <c r="W1" s="4" t="s">
        <v>22</v>
      </c>
      <c r="X1" s="4" t="s">
        <v>28</v>
      </c>
      <c r="Y1" s="4" t="s">
        <v>23</v>
      </c>
    </row>
    <row r="2" spans="1:25" ht="30" x14ac:dyDescent="0.25">
      <c r="A2" s="6"/>
      <c r="B2" s="2" t="s">
        <v>1</v>
      </c>
      <c r="C2" s="2" t="s">
        <v>2</v>
      </c>
      <c r="D2" s="3" t="s">
        <v>16</v>
      </c>
      <c r="E2" s="2" t="s">
        <v>1</v>
      </c>
      <c r="F2" s="2" t="s">
        <v>2</v>
      </c>
      <c r="G2" s="2"/>
      <c r="H2" s="2" t="s">
        <v>1</v>
      </c>
      <c r="I2" s="2" t="s">
        <v>2</v>
      </c>
      <c r="J2" s="2"/>
      <c r="K2" s="2" t="s">
        <v>1</v>
      </c>
      <c r="L2" s="2" t="s">
        <v>2</v>
      </c>
      <c r="M2" s="2"/>
      <c r="N2" s="2" t="s">
        <v>1</v>
      </c>
      <c r="O2" s="2" t="s">
        <v>2</v>
      </c>
      <c r="P2" s="2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t="s">
        <v>8</v>
      </c>
      <c r="B3" s="1">
        <v>80</v>
      </c>
      <c r="C3" s="1">
        <v>52</v>
      </c>
      <c r="D3" s="1" t="s">
        <v>17</v>
      </c>
      <c r="E3" s="1">
        <v>30</v>
      </c>
      <c r="F3" s="1">
        <v>15</v>
      </c>
      <c r="G3" s="1" t="s">
        <v>18</v>
      </c>
      <c r="H3" s="1">
        <v>12</v>
      </c>
      <c r="I3" s="1">
        <v>15</v>
      </c>
      <c r="J3" s="1" t="s">
        <v>18</v>
      </c>
      <c r="K3" s="1">
        <v>28</v>
      </c>
      <c r="L3" s="1">
        <v>30</v>
      </c>
      <c r="M3" s="1" t="s">
        <v>17</v>
      </c>
      <c r="N3" s="1">
        <v>121</v>
      </c>
      <c r="O3" s="1">
        <v>101</v>
      </c>
      <c r="P3" s="1" t="s">
        <v>18</v>
      </c>
      <c r="Q3">
        <f>SUM(B3,E3,H3,K3,N3)</f>
        <v>271</v>
      </c>
      <c r="R3">
        <f>SUM(C3,F3,I3,L3,O3)</f>
        <v>213</v>
      </c>
      <c r="S3">
        <f>AVERAGE(B3,E3,H3,K3,N3)</f>
        <v>54.2</v>
      </c>
      <c r="T3" s="8">
        <f>(Q3/R3)*100</f>
        <v>127.2300469483568</v>
      </c>
      <c r="U3">
        <f>COUNTIF(B3:P3,"Not Out")</f>
        <v>3</v>
      </c>
      <c r="V3">
        <f>MAX(B3,E3,H3,K3,N3)</f>
        <v>121</v>
      </c>
      <c r="W3">
        <f>MIN(B3,E3,H3,K3,N3)</f>
        <v>12</v>
      </c>
    </row>
    <row r="4" spans="1:25" x14ac:dyDescent="0.25">
      <c r="A4" t="s">
        <v>9</v>
      </c>
      <c r="B4" s="1">
        <v>100</v>
      </c>
      <c r="C4" s="1">
        <v>105</v>
      </c>
      <c r="D4" s="1" t="s">
        <v>18</v>
      </c>
      <c r="E4" s="1">
        <v>15</v>
      </c>
      <c r="F4" s="1">
        <v>12</v>
      </c>
      <c r="G4" s="1" t="s">
        <v>17</v>
      </c>
      <c r="H4" s="1">
        <v>35</v>
      </c>
      <c r="I4" s="1">
        <v>48</v>
      </c>
      <c r="J4" s="1" t="s">
        <v>17</v>
      </c>
      <c r="K4" s="1">
        <v>65</v>
      </c>
      <c r="L4" s="1">
        <v>65</v>
      </c>
      <c r="M4" s="1" t="s">
        <v>19</v>
      </c>
      <c r="N4" s="1">
        <v>12</v>
      </c>
      <c r="O4" s="1">
        <v>10</v>
      </c>
      <c r="P4" s="1" t="s">
        <v>17</v>
      </c>
      <c r="Q4">
        <f t="shared" ref="Q4:Q7" si="0">SUM(B4,E4,H4,K4,N4)</f>
        <v>227</v>
      </c>
      <c r="R4">
        <f t="shared" ref="R4:R7" si="1">SUM(C4,F4,I4,L4,O4)</f>
        <v>240</v>
      </c>
      <c r="S4">
        <f t="shared" ref="S4:S7" si="2">AVERAGE(B4,E4,H4,K4,N4)</f>
        <v>45.4</v>
      </c>
      <c r="T4" s="8">
        <f t="shared" ref="T4:T7" si="3">(Q4/R4)*100</f>
        <v>94.583333333333329</v>
      </c>
      <c r="U4">
        <f t="shared" ref="U4:U8" si="4">COUNTIF(B4:P4,"Not Out")</f>
        <v>1</v>
      </c>
      <c r="V4">
        <f t="shared" ref="V4:V7" si="5">MAX(B4,E4,H4,K4,N4)</f>
        <v>100</v>
      </c>
      <c r="W4">
        <f t="shared" ref="W4:W7" si="6">MIN(B4,E4,H4,K4,N4)</f>
        <v>12</v>
      </c>
    </row>
    <row r="5" spans="1:25" x14ac:dyDescent="0.25">
      <c r="A5" t="s">
        <v>10</v>
      </c>
      <c r="B5" s="1">
        <v>35</v>
      </c>
      <c r="C5" s="1">
        <v>30</v>
      </c>
      <c r="D5" s="1" t="s">
        <v>18</v>
      </c>
      <c r="E5" s="1">
        <v>48</v>
      </c>
      <c r="F5" s="1">
        <v>42</v>
      </c>
      <c r="G5" s="1" t="s">
        <v>19</v>
      </c>
      <c r="H5" s="1">
        <v>37</v>
      </c>
      <c r="I5" s="1">
        <v>35</v>
      </c>
      <c r="J5" s="1" t="s">
        <v>18</v>
      </c>
      <c r="K5" s="1">
        <v>12</v>
      </c>
      <c r="L5" s="1">
        <v>15</v>
      </c>
      <c r="M5" s="1" t="s">
        <v>18</v>
      </c>
      <c r="N5" s="1">
        <v>8</v>
      </c>
      <c r="O5" s="1">
        <v>4</v>
      </c>
      <c r="P5" s="1" t="s">
        <v>17</v>
      </c>
      <c r="Q5">
        <f t="shared" si="0"/>
        <v>140</v>
      </c>
      <c r="R5">
        <f t="shared" si="1"/>
        <v>126</v>
      </c>
      <c r="S5">
        <f t="shared" si="2"/>
        <v>28</v>
      </c>
      <c r="T5" s="8">
        <f t="shared" si="3"/>
        <v>111.11111111111111</v>
      </c>
      <c r="U5">
        <f t="shared" si="4"/>
        <v>3</v>
      </c>
      <c r="V5">
        <f t="shared" si="5"/>
        <v>48</v>
      </c>
      <c r="W5">
        <f t="shared" si="6"/>
        <v>8</v>
      </c>
    </row>
    <row r="6" spans="1:25" x14ac:dyDescent="0.25">
      <c r="A6" t="s">
        <v>11</v>
      </c>
      <c r="B6" s="1">
        <v>55</v>
      </c>
      <c r="C6" s="1">
        <v>50</v>
      </c>
      <c r="D6" s="1" t="s">
        <v>19</v>
      </c>
      <c r="E6" s="1">
        <v>65</v>
      </c>
      <c r="F6" s="1">
        <v>45</v>
      </c>
      <c r="G6" s="1" t="s">
        <v>18</v>
      </c>
      <c r="H6" s="1">
        <v>6</v>
      </c>
      <c r="I6" s="1">
        <v>4</v>
      </c>
      <c r="J6" s="1" t="s">
        <v>19</v>
      </c>
      <c r="K6" s="1">
        <v>25</v>
      </c>
      <c r="L6" s="1">
        <v>20</v>
      </c>
      <c r="M6" s="1" t="s">
        <v>17</v>
      </c>
      <c r="N6" s="1">
        <v>28</v>
      </c>
      <c r="O6" s="1">
        <v>25</v>
      </c>
      <c r="P6" s="1" t="s">
        <v>18</v>
      </c>
      <c r="Q6">
        <f t="shared" si="0"/>
        <v>179</v>
      </c>
      <c r="R6">
        <f t="shared" si="1"/>
        <v>144</v>
      </c>
      <c r="S6">
        <f t="shared" si="2"/>
        <v>35.799999999999997</v>
      </c>
      <c r="T6" s="8">
        <f t="shared" si="3"/>
        <v>124.30555555555556</v>
      </c>
      <c r="U6">
        <f t="shared" si="4"/>
        <v>2</v>
      </c>
      <c r="V6">
        <f t="shared" si="5"/>
        <v>65</v>
      </c>
      <c r="W6">
        <f t="shared" si="6"/>
        <v>6</v>
      </c>
    </row>
    <row r="7" spans="1:25" x14ac:dyDescent="0.25">
      <c r="A7" t="s">
        <v>12</v>
      </c>
      <c r="B7" s="1">
        <v>48</v>
      </c>
      <c r="C7" s="1">
        <v>55</v>
      </c>
      <c r="D7" s="1" t="s">
        <v>17</v>
      </c>
      <c r="E7" s="1">
        <v>52</v>
      </c>
      <c r="F7" s="1">
        <v>60</v>
      </c>
      <c r="G7" s="1" t="s">
        <v>18</v>
      </c>
      <c r="H7" s="1">
        <v>34</v>
      </c>
      <c r="I7" s="1">
        <v>32</v>
      </c>
      <c r="J7" s="1" t="s">
        <v>17</v>
      </c>
      <c r="K7" s="1">
        <v>28</v>
      </c>
      <c r="L7" s="1">
        <v>35</v>
      </c>
      <c r="M7" s="1" t="s">
        <v>17</v>
      </c>
      <c r="N7" s="1">
        <v>45</v>
      </c>
      <c r="O7" s="1">
        <v>55</v>
      </c>
      <c r="P7" s="1" t="s">
        <v>17</v>
      </c>
      <c r="Q7">
        <f t="shared" si="0"/>
        <v>207</v>
      </c>
      <c r="R7">
        <f t="shared" si="1"/>
        <v>237</v>
      </c>
      <c r="S7">
        <f t="shared" si="2"/>
        <v>41.4</v>
      </c>
      <c r="T7" s="8">
        <f t="shared" si="3"/>
        <v>87.341772151898738</v>
      </c>
      <c r="U7">
        <f t="shared" si="4"/>
        <v>1</v>
      </c>
      <c r="V7">
        <f t="shared" si="5"/>
        <v>52</v>
      </c>
      <c r="W7">
        <f t="shared" si="6"/>
        <v>28</v>
      </c>
    </row>
    <row r="8" spans="1:25" x14ac:dyDescent="0.25">
      <c r="O8" s="5" t="s">
        <v>29</v>
      </c>
      <c r="P8" s="5"/>
      <c r="Q8">
        <f>SUM(Q3:Q7)</f>
        <v>1024</v>
      </c>
      <c r="R8">
        <f>SUM(R3:R7)</f>
        <v>960</v>
      </c>
      <c r="S8">
        <f>AVERAGE(S3:S7)</f>
        <v>40.959999999999994</v>
      </c>
      <c r="T8" s="8">
        <f>(Q8/R8)*100</f>
        <v>106.66666666666667</v>
      </c>
      <c r="V8">
        <f>MAX(V3:V7)</f>
        <v>121</v>
      </c>
      <c r="W8">
        <f>MIN(W3:W7)</f>
        <v>6</v>
      </c>
    </row>
    <row r="12" spans="1:25" x14ac:dyDescent="0.25">
      <c r="A12" s="5" t="s">
        <v>24</v>
      </c>
      <c r="B12" s="5"/>
      <c r="C12" s="5"/>
      <c r="D12" s="5"/>
      <c r="E12" s="5"/>
      <c r="F12" s="5"/>
    </row>
    <row r="13" spans="1:25" x14ac:dyDescent="0.25">
      <c r="A13" s="5" t="s">
        <v>25</v>
      </c>
      <c r="B13" s="5"/>
      <c r="C13" s="5"/>
      <c r="D13" s="5"/>
      <c r="E13" s="5"/>
    </row>
    <row r="14" spans="1:25" x14ac:dyDescent="0.25">
      <c r="A14" s="7" t="s">
        <v>26</v>
      </c>
      <c r="B14" s="7"/>
      <c r="C14" s="7"/>
      <c r="D14" s="7"/>
      <c r="E14" s="7"/>
      <c r="F14" s="7"/>
      <c r="G14" s="7"/>
      <c r="H14" s="7"/>
    </row>
    <row r="15" spans="1:25" x14ac:dyDescent="0.25">
      <c r="A15" s="5" t="s">
        <v>27</v>
      </c>
      <c r="B15" s="5"/>
      <c r="C15" s="5"/>
      <c r="D15" s="5"/>
      <c r="E15" s="5"/>
      <c r="F15" s="5"/>
      <c r="G15" s="5"/>
      <c r="H15" s="5"/>
      <c r="I15" s="5"/>
    </row>
  </sheetData>
  <mergeCells count="19">
    <mergeCell ref="A1:A2"/>
    <mergeCell ref="A12:F12"/>
    <mergeCell ref="A13:E13"/>
    <mergeCell ref="A15:I15"/>
    <mergeCell ref="B1:C1"/>
    <mergeCell ref="E1:F1"/>
    <mergeCell ref="H1:I1"/>
    <mergeCell ref="K1:L1"/>
    <mergeCell ref="N1:O1"/>
    <mergeCell ref="X1:X2"/>
    <mergeCell ref="Y1:Y2"/>
    <mergeCell ref="O8:P8"/>
    <mergeCell ref="Q1:Q2"/>
    <mergeCell ref="S1:S2"/>
    <mergeCell ref="T1:T2"/>
    <mergeCell ref="U1:U2"/>
    <mergeCell ref="V1:V2"/>
    <mergeCell ref="W1:W2"/>
    <mergeCell ref="R1:R2"/>
  </mergeCells>
  <phoneticPr fontId="1" type="noConversion"/>
  <conditionalFormatting sqref="B3:B7">
    <cfRule type="cellIs" dxfId="18" priority="10" operator="greaterThan">
      <formula>60</formula>
    </cfRule>
  </conditionalFormatting>
  <conditionalFormatting sqref="E3:E7">
    <cfRule type="cellIs" dxfId="17" priority="9" operator="greaterThan">
      <formula>60</formula>
    </cfRule>
    <cfRule type="cellIs" dxfId="16" priority="4" operator="lessThan">
      <formula>25</formula>
    </cfRule>
  </conditionalFormatting>
  <conditionalFormatting sqref="H3:H7">
    <cfRule type="cellIs" dxfId="15" priority="8" operator="greaterThan">
      <formula>60</formula>
    </cfRule>
    <cfRule type="cellIs" dxfId="14" priority="3" operator="lessThan">
      <formula>25</formula>
    </cfRule>
  </conditionalFormatting>
  <conditionalFormatting sqref="K3:K7">
    <cfRule type="cellIs" dxfId="13" priority="7" operator="greaterThan">
      <formula>60</formula>
    </cfRule>
    <cfRule type="cellIs" dxfId="12" priority="6" operator="greaterThan">
      <formula>60</formula>
    </cfRule>
    <cfRule type="cellIs" dxfId="11" priority="2" operator="lessThan">
      <formula>25</formula>
    </cfRule>
  </conditionalFormatting>
  <conditionalFormatting sqref="N3:N7">
    <cfRule type="cellIs" dxfId="0" priority="5" operator="greaterThan">
      <formula>60</formula>
    </cfRule>
    <cfRule type="cellIs" dxfId="1" priority="1" operator="lessThan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Sreenarayanan N M</dc:creator>
  <cp:lastModifiedBy>Narendra Poreddy</cp:lastModifiedBy>
  <dcterms:created xsi:type="dcterms:W3CDTF">2024-10-11T04:48:33Z</dcterms:created>
  <dcterms:modified xsi:type="dcterms:W3CDTF">2024-10-11T06:17:25Z</dcterms:modified>
</cp:coreProperties>
</file>